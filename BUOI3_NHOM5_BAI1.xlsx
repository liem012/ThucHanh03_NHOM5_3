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0490" windowHeight="7755" activeTab="1"/>
  </bookViews>
  <sheets>
    <sheet name="Tổng hợp điểm" sheetId="1" r:id="rId1"/>
    <sheet name="Các bảng tham chiếu &amp; Thống kê" sheetId="5" r:id="rId2"/>
    <sheet name="Sinh viên điểm &lt; 7" sheetId="7" r:id="rId3"/>
    <sheet name="Điểm sinh viên &gt;= 7" sheetId="8" r:id="rId4"/>
    <sheet name="Điểm thực hành các buổi" sheetId="2" r:id="rId5"/>
    <sheet name="Điểm lý thuyết" sheetId="3" r:id="rId6"/>
    <sheet name="Điểm bài tập lớn" sheetId="4" r:id="rId7"/>
  </sheets>
  <definedNames>
    <definedName name="_xlnm._FilterDatabase" localSheetId="2" hidden="1">'Sinh viên điểm &lt; 7'!#REF!</definedName>
    <definedName name="_xlnm._FilterDatabase" localSheetId="0" hidden="1">'Tổng hợp điểm'!$A$6:$K$20</definedName>
    <definedName name="_xlnm.Criteria" localSheetId="2">'Sinh viên điểm &lt; 7'!#REF!</definedName>
    <definedName name="_xlnm.Criteria" localSheetId="0">'Tổng hợp điểm'!#REF!</definedName>
    <definedName name="_xlnm.Extract" localSheetId="3">'Điểm sinh viên &gt;= 7'!$A$1:$K$1</definedName>
    <definedName name="_xlnm.Extract" localSheetId="2">'Sinh viên điểm &lt; 7'!$A$1:$K$1</definedName>
    <definedName name="_xlnm.Extract" localSheetId="0">'Tổng hợp điểm'!#REF!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7" i="5" l="1"/>
  <c r="F24" i="5"/>
  <c r="F15" i="5"/>
  <c r="F16" i="5"/>
  <c r="F17" i="5"/>
  <c r="F18" i="5"/>
  <c r="F19" i="5"/>
  <c r="F20" i="5"/>
  <c r="F21" i="5"/>
  <c r="F14" i="5"/>
  <c r="H8" i="1"/>
  <c r="H9" i="1"/>
  <c r="H10" i="1"/>
  <c r="H11" i="1"/>
  <c r="H12" i="1"/>
  <c r="H13" i="1"/>
  <c r="H14" i="1"/>
  <c r="H15" i="1"/>
  <c r="H16" i="1"/>
  <c r="H17" i="1"/>
  <c r="I17" i="1" s="1"/>
  <c r="H18" i="1"/>
  <c r="H19" i="1"/>
  <c r="I19" i="1" s="1"/>
  <c r="H20" i="1"/>
  <c r="H7" i="1"/>
  <c r="G8" i="1"/>
  <c r="G9" i="1"/>
  <c r="G10" i="1"/>
  <c r="G11" i="1"/>
  <c r="G12" i="1"/>
  <c r="G13" i="1"/>
  <c r="G14" i="1"/>
  <c r="J14" i="1" s="1"/>
  <c r="K14" i="1" s="1"/>
  <c r="G15" i="1"/>
  <c r="G16" i="1"/>
  <c r="G17" i="1"/>
  <c r="J17" i="1" s="1"/>
  <c r="K17" i="1" s="1"/>
  <c r="G18" i="1"/>
  <c r="G19" i="1"/>
  <c r="J19" i="1" s="1"/>
  <c r="K19" i="1" s="1"/>
  <c r="G20" i="1"/>
  <c r="G7" i="1"/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7" i="1"/>
  <c r="D8" i="1"/>
  <c r="I8" i="1" s="1"/>
  <c r="J8" i="1" s="1"/>
  <c r="K8" i="1" s="1"/>
  <c r="D9" i="1"/>
  <c r="D10" i="1"/>
  <c r="I10" i="1" s="1"/>
  <c r="J10" i="1" s="1"/>
  <c r="K10" i="1" s="1"/>
  <c r="D11" i="1"/>
  <c r="I11" i="1" s="1"/>
  <c r="J11" i="1" s="1"/>
  <c r="K11" i="1" s="1"/>
  <c r="D12" i="1"/>
  <c r="I12" i="1" s="1"/>
  <c r="J12" i="1" s="1"/>
  <c r="K12" i="1" s="1"/>
  <c r="D13" i="1"/>
  <c r="D14" i="1"/>
  <c r="I14" i="1" s="1"/>
  <c r="D15" i="1"/>
  <c r="I15" i="1" s="1"/>
  <c r="J15" i="1" s="1"/>
  <c r="K15" i="1" s="1"/>
  <c r="D16" i="1"/>
  <c r="I16" i="1" s="1"/>
  <c r="J16" i="1" s="1"/>
  <c r="K16" i="1" s="1"/>
  <c r="D17" i="1"/>
  <c r="D18" i="1"/>
  <c r="I18" i="1" s="1"/>
  <c r="J18" i="1" s="1"/>
  <c r="K18" i="1" s="1"/>
  <c r="D19" i="1"/>
  <c r="D20" i="1"/>
  <c r="I20" i="1" s="1"/>
  <c r="J20" i="1" s="1"/>
  <c r="K20" i="1" s="1"/>
  <c r="D7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I7" i="1" l="1"/>
  <c r="J7" i="1" s="1"/>
  <c r="K7" i="1" s="1"/>
  <c r="I13" i="1"/>
  <c r="J13" i="1" s="1"/>
  <c r="K13" i="1" s="1"/>
  <c r="I9" i="1"/>
  <c r="J9" i="1" s="1"/>
  <c r="K9" i="1" s="1"/>
</calcChain>
</file>

<file path=xl/sharedStrings.xml><?xml version="1.0" encoding="utf-8"?>
<sst xmlns="http://schemas.openxmlformats.org/spreadsheetml/2006/main" count="255" uniqueCount="96">
  <si>
    <t>ĐIỂM THI HK1 2018-2019 (CT428)</t>
  </si>
  <si>
    <t>Ma CB</t>
  </si>
  <si>
    <t>Ho va ten</t>
  </si>
  <si>
    <t>Nguyen Minh Trung</t>
  </si>
  <si>
    <t>Ma MH</t>
  </si>
  <si>
    <t>CT428</t>
  </si>
  <si>
    <t>Ma NH</t>
  </si>
  <si>
    <t>Nam hoc</t>
  </si>
  <si>
    <t>2020-2021</t>
  </si>
  <si>
    <t>Hoc Ky</t>
  </si>
  <si>
    <t>Mã SV</t>
  </si>
  <si>
    <t xml:space="preserve">Họ và tên </t>
  </si>
  <si>
    <t>Điểm
 chữ</t>
  </si>
  <si>
    <t>Điểm
 TH 1</t>
  </si>
  <si>
    <t>Điểm 
TH 2</t>
  </si>
  <si>
    <t>Điểm 
TH 3</t>
  </si>
  <si>
    <t>Điểm
 BT 
lớn</t>
  </si>
  <si>
    <t xml:space="preserve">Điểm
 LT </t>
  </si>
  <si>
    <t xml:space="preserve">Điểm
 tổng </t>
  </si>
  <si>
    <t>Điểm
 theo 
thang
 điểm 
10</t>
  </si>
  <si>
    <t>S
T
T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</si>
  <si>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</si>
  <si>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</si>
  <si>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</si>
  <si>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</si>
  <si>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</si>
  <si>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</si>
  <si>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</si>
  <si>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</si>
  <si>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</si>
  <si>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</si>
  <si>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</si>
  <si>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2B1609759</t>
  </si>
  <si>
    <t>5B1609765</t>
  </si>
  <si>
    <t>0B1609773</t>
  </si>
  <si>
    <t>Bảng quy đổi điểm</t>
  </si>
  <si>
    <t>Bảng điểm chuyên cần</t>
  </si>
  <si>
    <t>Điểm theo thang điểm 10</t>
  </si>
  <si>
    <t>Điểm chữ</t>
  </si>
  <si>
    <t>Điểm theo thang điểm 4</t>
  </si>
  <si>
    <t xml:space="preserve">Số buổi vắng 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</si>
  <si>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</si>
  <si>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</si>
  <si>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</si>
  <si>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</si>
  <si>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</si>
  <si>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</si>
  <si>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</si>
  <si>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</si>
  <si>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</si>
  <si>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Danh sách Sinh viên</t>
  </si>
  <si>
    <t>Bảng thống kê theo điểm chữ</t>
  </si>
  <si>
    <t>STT</t>
  </si>
  <si>
    <t>Họ và Tên</t>
  </si>
  <si>
    <t xml:space="preserve">Điểm chữ </t>
  </si>
  <si>
    <t>Số lượng sinh 
viên</t>
  </si>
  <si>
    <t>B1505719</t>
  </si>
  <si>
    <t xml:space="preserve">Nguyễn Văn Hiếu </t>
  </si>
  <si>
    <t>B1505915</t>
  </si>
  <si>
    <t>Lý Minh Trí</t>
  </si>
  <si>
    <t>B1509874</t>
  </si>
  <si>
    <t>Nguyễn Kiều Mi</t>
  </si>
  <si>
    <t>B1509929</t>
  </si>
  <si>
    <t xml:space="preserve">Đặng Duy Linh </t>
  </si>
  <si>
    <t>B1605223</t>
  </si>
  <si>
    <t>Lê Thị Trúc Linh</t>
  </si>
  <si>
    <t>B1605235</t>
  </si>
  <si>
    <t xml:space="preserve">Phạm Thị Huỳnh </t>
  </si>
  <si>
    <t>B1605249</t>
  </si>
  <si>
    <t>Lê Minh Thông</t>
  </si>
  <si>
    <t>B1605285</t>
  </si>
  <si>
    <t>Huỳnh Thị Diễm</t>
  </si>
  <si>
    <t>B1605291</t>
  </si>
  <si>
    <t>Trần Thanh Nguyên</t>
  </si>
  <si>
    <t>B1605344</t>
  </si>
  <si>
    <t xml:space="preserve">Nguyễn Thị Đào </t>
  </si>
  <si>
    <t>Bảng thống kê sinh viên</t>
  </si>
  <si>
    <t>B1607025</t>
  </si>
  <si>
    <t xml:space="preserve">Nguyễn Chí Thanh </t>
  </si>
  <si>
    <t>Số sinh viên điểm BT 
lớn = 0 hoặc điểm LT = -3</t>
  </si>
  <si>
    <t>B1609759</t>
  </si>
  <si>
    <t>Nguyễn Hải Anh</t>
  </si>
  <si>
    <t>B1609765</t>
  </si>
  <si>
    <t xml:space="preserve">Trần Nam Dương </t>
  </si>
  <si>
    <t>B1609773</t>
  </si>
  <si>
    <t xml:space="preserve">Nguyễn Duy Khanh </t>
  </si>
  <si>
    <t>Số sinh viên nghỉ TH &gt; 2</t>
  </si>
  <si>
    <t>Điểm thực hành các buổi</t>
  </si>
  <si>
    <t xml:space="preserve">Học và Tên </t>
  </si>
  <si>
    <t>Điểm TH 1</t>
  </si>
  <si>
    <t>Điểm TH 2</t>
  </si>
  <si>
    <t>Điểm TH 3</t>
  </si>
  <si>
    <t>Điểm lý thuyết</t>
  </si>
  <si>
    <t>Họ và tên</t>
  </si>
  <si>
    <t>Điểm bài tập lớn</t>
  </si>
  <si>
    <t>Điểm BT lớn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</si>
</sst>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1" xfId="0" applyBorder="1"/>
    <xf numFmtId="0" fontId="0" fillId="0" borderId="3" xfId="0" applyBorder="1" applyAlignment="1"/>
    <xf numFmtId="0" fontId="0" fillId="0" borderId="4" xfId="0" applyBorder="1" applyAlignment="1"/>
    <xf numFmtId="0" fontId="2" fillId="0" borderId="5" xfId="0" applyNumberFormat="1" applyFont="1" applyFill="1" applyBorder="1" applyAlignment="1" applyProtection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4" xfId="0" applyFont="1" applyBorder="1" applyAlignment="1"/>
    <xf numFmtId="0" fontId="1" fillId="3" borderId="5" xfId="0" applyFont="1" applyFill="1" applyBorder="1"/>
    <xf numFmtId="0" fontId="1" fillId="0" borderId="5" xfId="0" applyFont="1" applyBorder="1"/>
    <xf numFmtId="0" fontId="0" fillId="0" borderId="5" xfId="0" applyBorder="1"/>
    <xf numFmtId="0" fontId="0" fillId="0" borderId="5" xfId="0" applyBorder="1" applyAlignment="1">
      <alignment horizontal="right"/>
    </xf>
    <xf numFmtId="0" fontId="0" fillId="0" borderId="5" xfId="0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0" fillId="0" borderId="5" xfId="0" applyBorder="1" applyAlignment="1"/>
    <xf numFmtId="0" fontId="2" fillId="0" borderId="2" xfId="0" applyNumberFormat="1" applyFont="1" applyFill="1" applyBorder="1" applyAlignment="1" applyProtection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2" fillId="0" borderId="5" xfId="0" applyNumberFormat="1" applyFont="1" applyFill="1" applyBorder="1" applyAlignment="1"/>
    <xf numFmtId="0" fontId="1" fillId="3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'Các bảng tham chiếu &amp; Thống kê'!$E$14:$E$21</c:f>
              <c:strCache>
                <c:ptCount val="8"/>
                <c:pt idx="0">
                  <c:v>A</c:v>
                </c:pt>
                <c:pt idx="1">
                  <c:v>B</c:v>
                </c:pt>
                <c:pt idx="2">
                  <c:v>B+</c:v>
                </c:pt>
                <c:pt idx="3">
                  <c:v>C</c:v>
                </c:pt>
                <c:pt idx="4">
                  <c:v>C+</c:v>
                </c:pt>
                <c:pt idx="5">
                  <c:v>D</c:v>
                </c:pt>
                <c:pt idx="6">
                  <c:v>D+</c:v>
                </c:pt>
                <c:pt idx="7">
                  <c:v>F</c:v>
                </c:pt>
              </c:strCache>
            </c:strRef>
          </c:cat>
          <c:val>
            <c:numRef>
              <c:f>'Các bảng tham chiếu &amp; Thống kê'!$F$14:$F$21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</c:numCache>
            </c:numRef>
          </c:val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9524</xdr:colOff>
      <xdr:row>11</xdr:row>
      <xdr:rowOff>14287</xdr:rowOff>
    </xdr:from>
    <xdr:to>
      <xdr:col>15</xdr:col>
      <xdr:colOff>0</xdr:colOff>
      <xdr:row>25</xdr:row>
      <xdr:rowOff>9525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pane xSplit="3" ySplit="6" topLeftCell="D9" activePane="bottomRight" state="frozen"/>
      <selection pane="topRight" activeCell="D1" sqref="D1"/>
      <selection pane="bottomLeft" activeCell="A7" sqref="A7"/>
      <selection pane="bottomRight" activeCell="L10" sqref="L10"/>
    </sheetView>
  </sheetViews>
  <sheetFormatPr defaultRowHeight="15"/>
  <cols>
    <col min="2" max="2" width="10.5703125" customWidth="1"/>
    <col min="3" max="3" width="18.42578125" bestFit="1" customWidth="1"/>
    <col min="4" max="4" width="15.5703125" customWidth="1"/>
    <col min="5" max="5" width="11.42578125" customWidth="1"/>
    <col min="6" max="6" width="18.5703125" bestFit="1" customWidth="1"/>
    <col min="7" max="7" width="11.7109375" bestFit="1" customWidth="1"/>
    <col min="8" max="8" width="8.42578125" bestFit="1" customWidth="1"/>
    <col min="9" max="9" width="10.5703125" bestFit="1" customWidth="1"/>
    <col min="10" max="10" width="12.140625" customWidth="1"/>
    <col min="11" max="11" width="11" customWidth="1"/>
    <col min="13" max="13" width="11.5703125" customWidth="1"/>
  </cols>
  <sheetData>
    <row r="1" spans="1:11">
      <c r="A1" s="1"/>
      <c r="B1" s="23" t="s">
        <v>0</v>
      </c>
      <c r="C1" s="24"/>
      <c r="D1" s="24"/>
      <c r="E1" s="24"/>
      <c r="F1" s="24"/>
      <c r="G1" s="24"/>
      <c r="H1" s="25"/>
      <c r="I1" s="1"/>
      <c r="J1" s="1"/>
      <c r="K1" s="1"/>
    </row>
    <row r="2" spans="1:11">
      <c r="A2" s="1"/>
      <c r="B2" s="1" t="s">
        <v>1</v>
      </c>
      <c r="C2" s="1">
        <v>1043</v>
      </c>
      <c r="D2" s="20" t="s">
        <v>2</v>
      </c>
      <c r="E2" s="22"/>
      <c r="F2" s="2" t="s">
        <v>3</v>
      </c>
      <c r="G2" s="2"/>
      <c r="H2" s="2"/>
      <c r="I2" s="3"/>
      <c r="J2" s="1"/>
      <c r="K2" s="1"/>
    </row>
    <row r="3" spans="1:11">
      <c r="A3" s="1"/>
      <c r="B3" s="1" t="s">
        <v>4</v>
      </c>
      <c r="C3" s="1" t="s">
        <v>5</v>
      </c>
      <c r="D3" s="20" t="s">
        <v>6</v>
      </c>
      <c r="E3" s="21"/>
      <c r="F3" s="20">
        <v>8</v>
      </c>
      <c r="G3" s="22"/>
      <c r="H3" s="22"/>
      <c r="I3" s="3"/>
      <c r="J3" s="1"/>
      <c r="K3" s="1"/>
    </row>
    <row r="4" spans="1:11">
      <c r="A4" s="1"/>
      <c r="B4" s="1" t="s">
        <v>7</v>
      </c>
      <c r="C4" s="1" t="s">
        <v>8</v>
      </c>
      <c r="D4" s="20" t="s">
        <v>9</v>
      </c>
      <c r="E4" s="21"/>
      <c r="F4" s="20">
        <v>1</v>
      </c>
      <c r="G4" s="22"/>
      <c r="H4" s="21"/>
      <c r="I4" s="1"/>
      <c r="J4" s="1"/>
      <c r="K4" s="1"/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75">
      <c r="A6" s="6" t="s">
        <v>20</v>
      </c>
      <c r="B6" s="5" t="s">
        <v>10</v>
      </c>
      <c r="C6" s="5" t="s">
        <v>11</v>
      </c>
      <c r="D6" s="6" t="s">
        <v>13</v>
      </c>
      <c r="E6" s="6" t="s">
        <v>14</v>
      </c>
      <c r="F6" s="6" t="s">
        <v>15</v>
      </c>
      <c r="G6" s="6" t="s">
        <v>16</v>
      </c>
      <c r="H6" s="6" t="s">
        <v>17</v>
      </c>
      <c r="I6" s="6" t="s">
        <v>18</v>
      </c>
      <c r="J6" s="6" t="s">
        <v>19</v>
      </c>
      <c r="K6" s="6" t="s">
        <v>12</v>
      </c>
    </row>
    <row r="7" spans="1:11">
      <c r="A7" s="1">
        <v>1</v>
      </c>
      <c r="B7" s="4" t="s">
        <v>21</v>
      </c>
      <c r="C7" s="4" t="str">
        <f>VLOOKUP(RIGHT('Tổng hợp điểm'!B7,8),'Các bảng tham chiếu &amp; Thống kê'!$B$13:$D$27,2,0)</f>
        <v xml:space="preserve">Nguyễn Văn Hiếu </v>
      </c>
      <c r="D7" s="1">
        <f>VLOOKUP(RIGHT('Tổng hợp điểm'!B7,8),'Điểm thực hành các buổi'!$B$3:$F$16,3,0)</f>
        <v>0.45</v>
      </c>
      <c r="E7" s="1">
        <f>VLOOKUP(RIGHT('Tổng hợp điểm'!B7,8),'Điểm thực hành các buổi'!$B$3:$F$16,4,0)</f>
        <v>0.25</v>
      </c>
      <c r="F7" s="1">
        <f>VLOOKUP(RIGHT(B7,8),'Điểm thực hành các buổi'!$B$3:$F$16,5,0)</f>
        <v>0.3</v>
      </c>
      <c r="G7" s="1">
        <f>VLOOKUP(RIGHT(B7,8),'Điểm bài tập lớn'!$B$3:$D$16,3,0)</f>
        <v>0.5</v>
      </c>
      <c r="H7" s="1">
        <f>VLOOKUP(RIGHT(B7,8),'Điểm lý thuyết'!B3:$D$16,3,0)</f>
        <v>4.2</v>
      </c>
      <c r="I7" s="1">
        <f>IF(H7=-3,0,ROUND(D7+E7+F7+G7+0.6*H7,1))</f>
        <v>4</v>
      </c>
      <c r="J7" s="1">
        <f>IF(OR(G7=0,VALUE(LEFT(B7,1))&gt;2),0,ROUND(I7+VLOOKUP(VALUE(LEFT(B7,1)),'Các bảng tham chiếu &amp; Thống kê'!$E$1:$F$5,2,0),1))</f>
        <v>5</v>
      </c>
      <c r="K7" s="1" t="str">
        <f>VLOOKUP(J7,'Các bảng tham chiếu &amp; Thống kê'!A$2:C$10,2,1)</f>
        <v>D+</v>
      </c>
    </row>
    <row r="8" spans="1:11">
      <c r="A8" s="1">
        <v>2</v>
      </c>
      <c r="B8" s="4" t="s">
        <v>22</v>
      </c>
      <c r="C8" s="4" t="str">
        <f>VLOOKUP(RIGHT('Tổng hợp điểm'!B8,8),'Các bảng tham chiếu &amp; Thống kê'!$B$13:$D$27,2,0)</f>
        <v>Lý Minh Trí</v>
      </c>
      <c r="D8" s="1">
        <f>VLOOKUP(RIGHT('Tổng hợp điểm'!B8,8),'Điểm thực hành các buổi'!$B$3:$F$16,3,0)</f>
        <v>0.5</v>
      </c>
      <c r="E8" s="1">
        <f>VLOOKUP(RIGHT('Tổng hợp điểm'!B8,8),'Điểm thực hành các buổi'!$B$3:$F$16,4,0)</f>
        <v>0.35</v>
      </c>
      <c r="F8" s="1">
        <f>VLOOKUP(RIGHT(B8,8),'Điểm thực hành các buổi'!$B$3:$F$16,5,0)</f>
        <v>0.4</v>
      </c>
      <c r="G8" s="1">
        <f>VLOOKUP(RIGHT(B8,8),'Điểm bài tập lớn'!$B$3:$D$16,3,0)</f>
        <v>1</v>
      </c>
      <c r="H8" s="1">
        <f>VLOOKUP(RIGHT(B8,8),'Điểm lý thuyết'!B4:$D$16,3,0)</f>
        <v>5.8</v>
      </c>
      <c r="I8" s="1">
        <f t="shared" ref="I8:I20" si="0">IF(H8=-3,0,ROUND(D8+E8+F8+G8+0.6*H8,1))</f>
        <v>5.7</v>
      </c>
      <c r="J8" s="1">
        <f>IF(OR(G8=0,VALUE(LEFT(B8,1))&gt;2),0,ROUND(I8+VLOOKUP(VALUE(LEFT(B8,1)),'Các bảng tham chiếu &amp; Thống kê'!$E$1:$F$5,2,0),1))</f>
        <v>6.2</v>
      </c>
      <c r="K8" s="1" t="str">
        <f>VLOOKUP(J8,'Các bảng tham chiếu &amp; Thống kê'!A$2:C$10,2,1)</f>
        <v>C</v>
      </c>
    </row>
    <row r="9" spans="1:11">
      <c r="A9" s="1">
        <v>3</v>
      </c>
      <c r="B9" s="4" t="s">
        <v>23</v>
      </c>
      <c r="C9" s="4" t="str">
        <f>VLOOKUP(RIGHT('Tổng hợp điểm'!B9,8),'Các bảng tham chiếu &amp; Thống kê'!$B$13:$D$27,2,0)</f>
        <v>Nguyễn Kiều Mi</v>
      </c>
      <c r="D9" s="1">
        <f>VLOOKUP(RIGHT('Tổng hợp điểm'!B9,8),'Điểm thực hành các buổi'!$B$3:$F$16,3,0)</f>
        <v>0.25</v>
      </c>
      <c r="E9" s="1">
        <f>VLOOKUP(RIGHT('Tổng hợp điểm'!B9,8),'Điểm thực hành các buổi'!$B$3:$F$16,4,0)</f>
        <v>0.25</v>
      </c>
      <c r="F9" s="1">
        <f>VLOOKUP(RIGHT(B9,8),'Điểm thực hành các buổi'!$B$3:$F$16,5,0)</f>
        <v>0.3</v>
      </c>
      <c r="G9" s="1">
        <f>VLOOKUP(RIGHT(B9,8),'Điểm bài tập lớn'!$B$3:$D$16,3,0)</f>
        <v>0.5</v>
      </c>
      <c r="H9" s="1">
        <f>VLOOKUP(RIGHT(B9,8),'Điểm lý thuyết'!B5:$D$16,3,0)</f>
        <v>5.8</v>
      </c>
      <c r="I9" s="1">
        <f t="shared" si="0"/>
        <v>4.8</v>
      </c>
      <c r="J9" s="1">
        <f>IF(OR(G9=0,VALUE(LEFT(B9,1))&gt;2),0,ROUND(I9+VLOOKUP(VALUE(LEFT(B9,1)),'Các bảng tham chiếu &amp; Thống kê'!$E$1:$F$5,2,0),1))</f>
        <v>5.8</v>
      </c>
      <c r="K9" s="1" t="str">
        <f>VLOOKUP(J9,'Các bảng tham chiếu &amp; Thống kê'!A$2:C$10,2,1)</f>
        <v>C</v>
      </c>
    </row>
    <row r="10" spans="1:11">
      <c r="A10" s="1">
        <v>4</v>
      </c>
      <c r="B10" s="4" t="s">
        <v>24</v>
      </c>
      <c r="C10" s="4" t="str">
        <f>VLOOKUP(RIGHT('Tổng hợp điểm'!B10,8),'Các bảng tham chiếu &amp; Thống kê'!$B$13:$D$27,2,0)</f>
        <v xml:space="preserve">Đặng Duy Linh </v>
      </c>
      <c r="D10" s="1">
        <f>VLOOKUP(RIGHT('Tổng hợp điểm'!B10,8),'Điểm thực hành các buổi'!$B$3:$F$16,3,0)</f>
        <v>0.4</v>
      </c>
      <c r="E10" s="1">
        <f>VLOOKUP(RIGHT('Tổng hợp điểm'!B10,8),'Điểm thực hành các buổi'!$B$3:$F$16,4,0)</f>
        <v>0.25</v>
      </c>
      <c r="F10" s="1">
        <f>VLOOKUP(RIGHT(B10,8),'Điểm thực hành các buổi'!$B$3:$F$16,5,0)</f>
        <v>0.35</v>
      </c>
      <c r="G10" s="1">
        <f>VLOOKUP(RIGHT(B10,8),'Điểm bài tập lớn'!$B$3:$D$16,3,0)</f>
        <v>1</v>
      </c>
      <c r="H10" s="1">
        <f>VLOOKUP(RIGHT(B10,8),'Điểm lý thuyết'!B6:$D$16,3,0)</f>
        <v>4.5</v>
      </c>
      <c r="I10" s="1">
        <f t="shared" si="0"/>
        <v>4.7</v>
      </c>
      <c r="J10" s="1">
        <f>IF(OR(G10=0,VALUE(LEFT(B10,1))&gt;2),0,ROUND(I10+VLOOKUP(VALUE(LEFT(B10,1)),'Các bảng tham chiếu &amp; Thống kê'!$E$1:$F$5,2,0),1))</f>
        <v>5.7</v>
      </c>
      <c r="K10" s="1" t="str">
        <f>VLOOKUP(J10,'Các bảng tham chiếu &amp; Thống kê'!A$2:C$10,2,1)</f>
        <v>C</v>
      </c>
    </row>
    <row r="11" spans="1:11">
      <c r="A11" s="1">
        <v>5</v>
      </c>
      <c r="B11" s="4" t="s">
        <v>25</v>
      </c>
      <c r="C11" s="4" t="str">
        <f>VLOOKUP(RIGHT('Tổng hợp điểm'!B11,8),'Các bảng tham chiếu &amp; Thống kê'!$B$13:$D$27,2,0)</f>
        <v>Lê Thị Trúc Linh</v>
      </c>
      <c r="D11" s="1">
        <f>VLOOKUP(RIGHT('Tổng hợp điểm'!B11,8),'Điểm thực hành các buổi'!$B$3:$F$16,3,0)</f>
        <v>0.45</v>
      </c>
      <c r="E11" s="1">
        <f>VLOOKUP(RIGHT('Tổng hợp điểm'!B11,8),'Điểm thực hành các buổi'!$B$3:$F$16,4,0)</f>
        <v>0.4</v>
      </c>
      <c r="F11" s="1">
        <f>VLOOKUP(RIGHT(B11,8),'Điểm thực hành các buổi'!$B$3:$F$16,5,0)</f>
        <v>0.35</v>
      </c>
      <c r="G11" s="1">
        <f>VLOOKUP(RIGHT(B11,8),'Điểm bài tập lớn'!$B$3:$D$16,3,0)</f>
        <v>0.75</v>
      </c>
      <c r="H11" s="1">
        <f>VLOOKUP(RIGHT(B11,8),'Điểm lý thuyết'!B7:$D$16,3,0)</f>
        <v>5.5</v>
      </c>
      <c r="I11" s="1">
        <f t="shared" si="0"/>
        <v>5.3</v>
      </c>
      <c r="J11" s="1">
        <f>IF(OR(G11=0,VALUE(LEFT(B11,1))&gt;2),0,ROUND(I11+VLOOKUP(VALUE(LEFT(B11,1)),'Các bảng tham chiếu &amp; Thống kê'!$E$1:$F$5,2,0),1))</f>
        <v>5.6</v>
      </c>
      <c r="K11" s="1" t="str">
        <f>VLOOKUP(J11,'Các bảng tham chiếu &amp; Thống kê'!A$2:C$10,2,1)</f>
        <v>C</v>
      </c>
    </row>
    <row r="12" spans="1:11">
      <c r="A12" s="1">
        <v>6</v>
      </c>
      <c r="B12" s="4" t="s">
        <v>26</v>
      </c>
      <c r="C12" s="4" t="str">
        <f>VLOOKUP(RIGHT('Tổng hợp điểm'!B12,8),'Các bảng tham chiếu &amp; Thống kê'!$B$13:$D$27,2,0)</f>
        <v xml:space="preserve">Phạm Thị Huỳnh </v>
      </c>
      <c r="D12" s="1">
        <f>VLOOKUP(RIGHT('Tổng hợp điểm'!B12,8),'Điểm thực hành các buổi'!$B$3:$F$16,3,0)</f>
        <v>0.4</v>
      </c>
      <c r="E12" s="1">
        <f>VLOOKUP(RIGHT('Tổng hợp điểm'!B12,8),'Điểm thực hành các buổi'!$B$3:$F$16,4,0)</f>
        <v>0.45</v>
      </c>
      <c r="F12" s="1">
        <f>VLOOKUP(RIGHT(B12,8),'Điểm thực hành các buổi'!$B$3:$F$16,5,0)</f>
        <v>0.5</v>
      </c>
      <c r="G12" s="1">
        <f>VLOOKUP(RIGHT(B12,8),'Điểm bài tập lớn'!$B$3:$D$16,3,0)</f>
        <v>1.2</v>
      </c>
      <c r="H12" s="1">
        <f>VLOOKUP(RIGHT(B12,8),'Điểm lý thuyết'!B8:$D$16,3,0)</f>
        <v>7.5</v>
      </c>
      <c r="I12" s="1">
        <f t="shared" si="0"/>
        <v>7.1</v>
      </c>
      <c r="J12" s="1">
        <f>IF(OR(G12=0,VALUE(LEFT(B12,1))&gt;2),0,ROUND(I12+VLOOKUP(VALUE(LEFT(B12,1)),'Các bảng tham chiếu &amp; Thống kê'!$E$1:$F$5,2,0),1))</f>
        <v>8.1</v>
      </c>
      <c r="K12" s="1" t="str">
        <f>VLOOKUP(J12,'Các bảng tham chiếu &amp; Thống kê'!A$2:C$10,2,1)</f>
        <v>B+</v>
      </c>
    </row>
    <row r="13" spans="1:11">
      <c r="A13" s="1">
        <v>7</v>
      </c>
      <c r="B13" s="4" t="s">
        <v>27</v>
      </c>
      <c r="C13" s="4" t="str">
        <f>VLOOKUP(RIGHT('Tổng hợp điểm'!B13,8),'Các bảng tham chiếu &amp; Thống kê'!$B$13:$D$27,2,0)</f>
        <v>Lê Minh Thông</v>
      </c>
      <c r="D13" s="1">
        <f>VLOOKUP(RIGHT('Tổng hợp điểm'!B13,8),'Điểm thực hành các buổi'!$B$3:$F$16,3,0)</f>
        <v>0.4</v>
      </c>
      <c r="E13" s="1">
        <f>VLOOKUP(RIGHT('Tổng hợp điểm'!B13,8),'Điểm thực hành các buổi'!$B$3:$F$16,4,0)</f>
        <v>0.4</v>
      </c>
      <c r="F13" s="1">
        <f>VLOOKUP(RIGHT(B13,8),'Điểm thực hành các buổi'!$B$3:$F$16,5,0)</f>
        <v>0.4</v>
      </c>
      <c r="G13" s="1">
        <f>VLOOKUP(RIGHT(B13,8),'Điểm bài tập lớn'!$B$3:$D$16,3,0)</f>
        <v>1</v>
      </c>
      <c r="H13" s="1">
        <f>VLOOKUP(RIGHT(B13,8),'Điểm lý thuyết'!B9:$D$16,3,0)</f>
        <v>5.3</v>
      </c>
      <c r="I13" s="1">
        <f t="shared" si="0"/>
        <v>5.4</v>
      </c>
      <c r="J13" s="1">
        <f>IF(OR(G13=0,VALUE(LEFT(B13,1))&gt;2),0,ROUND(I13+VLOOKUP(VALUE(LEFT(B13,1)),'Các bảng tham chiếu &amp; Thống kê'!$E$1:$F$5,2,0),1))</f>
        <v>6.4</v>
      </c>
      <c r="K13" s="1" t="str">
        <f>VLOOKUP(J13,'Các bảng tham chiếu &amp; Thống kê'!A$2:C$10,2,1)</f>
        <v>C</v>
      </c>
    </row>
    <row r="14" spans="1:11">
      <c r="A14" s="1">
        <v>8</v>
      </c>
      <c r="B14" s="4" t="s">
        <v>28</v>
      </c>
      <c r="C14" s="4" t="str">
        <f>VLOOKUP(RIGHT('Tổng hợp điểm'!B14,8),'Các bảng tham chiếu &amp; Thống kê'!$B$13:$D$27,2,0)</f>
        <v>Huỳnh Thị Diễm</v>
      </c>
      <c r="D14" s="1">
        <f>VLOOKUP(RIGHT('Tổng hợp điểm'!B14,8),'Điểm thực hành các buổi'!$B$3:$F$16,3,0)</f>
        <v>0.45</v>
      </c>
      <c r="E14" s="1">
        <f>VLOOKUP(RIGHT('Tổng hợp điểm'!B14,8),'Điểm thực hành các buổi'!$B$3:$F$16,4,0)</f>
        <v>0.4</v>
      </c>
      <c r="F14" s="1">
        <f>VLOOKUP(RIGHT(B14,8),'Điểm thực hành các buổi'!$B$3:$F$16,5,0)</f>
        <v>0.45</v>
      </c>
      <c r="G14" s="1">
        <f>VLOOKUP(RIGHT(B14,8),'Điểm bài tập lớn'!$B$3:$D$16,3,0)</f>
        <v>0</v>
      </c>
      <c r="H14" s="1">
        <f>VLOOKUP(RIGHT(B14,8),'Điểm lý thuyết'!B10:$D$16,3,0)</f>
        <v>6.8</v>
      </c>
      <c r="I14" s="1">
        <f t="shared" si="0"/>
        <v>5.4</v>
      </c>
      <c r="J14" s="1">
        <f>IF(OR(G14=0,VALUE(LEFT(B14,1))&gt;2),0,ROUND(I14+VLOOKUP(VALUE(LEFT(B14,1)),'Các bảng tham chiếu &amp; Thống kê'!$E$1:$F$5,2,0),1))</f>
        <v>0</v>
      </c>
      <c r="K14" s="1" t="str">
        <f>VLOOKUP(J14,'Các bảng tham chiếu &amp; Thống kê'!A$2:C$10,2,1)</f>
        <v>F</v>
      </c>
    </row>
    <row r="15" spans="1:11">
      <c r="A15" s="1">
        <v>9</v>
      </c>
      <c r="B15" s="4" t="s">
        <v>29</v>
      </c>
      <c r="C15" s="4" t="str">
        <f>VLOOKUP(RIGHT('Tổng hợp điểm'!B15,8),'Các bảng tham chiếu &amp; Thống kê'!$B$13:$D$27,2,0)</f>
        <v>Trần Thanh Nguyên</v>
      </c>
      <c r="D15" s="1">
        <f>VLOOKUP(RIGHT('Tổng hợp điểm'!B15,8),'Điểm thực hành các buổi'!$B$3:$F$16,3,0)</f>
        <v>0.45</v>
      </c>
      <c r="E15" s="1">
        <f>VLOOKUP(RIGHT('Tổng hợp điểm'!B15,8),'Điểm thực hành các buổi'!$B$3:$F$16,4,0)</f>
        <v>0.4</v>
      </c>
      <c r="F15" s="1">
        <f>VLOOKUP(RIGHT(B15,8),'Điểm thực hành các buổi'!$B$3:$F$16,5,0)</f>
        <v>0.4</v>
      </c>
      <c r="G15" s="1">
        <f>VLOOKUP(RIGHT(B15,8),'Điểm bài tập lớn'!$B$3:$D$16,3,0)</f>
        <v>0.75</v>
      </c>
      <c r="H15" s="1">
        <f>VLOOKUP(RIGHT(B15,8),'Điểm lý thuyết'!B11:$D$16,3,0)</f>
        <v>6.3</v>
      </c>
      <c r="I15" s="1">
        <f t="shared" si="0"/>
        <v>5.8</v>
      </c>
      <c r="J15" s="1">
        <f>IF(OR(G15=0,VALUE(LEFT(B15,1))&gt;2),0,ROUND(I15+VLOOKUP(VALUE(LEFT(B15,1)),'Các bảng tham chiếu &amp; Thống kê'!$E$1:$F$5,2,0),1))</f>
        <v>6.8</v>
      </c>
      <c r="K15" s="1" t="str">
        <f>VLOOKUP(J15,'Các bảng tham chiếu &amp; Thống kê'!A$2:C$10,2,1)</f>
        <v>C+</v>
      </c>
    </row>
    <row r="16" spans="1:11">
      <c r="A16" s="1">
        <v>10</v>
      </c>
      <c r="B16" s="4" t="s">
        <v>30</v>
      </c>
      <c r="C16" s="4" t="str">
        <f>VLOOKUP(RIGHT('Tổng hợp điểm'!B16,8),'Các bảng tham chiếu &amp; Thống kê'!$B$13:$D$27,2,0)</f>
        <v xml:space="preserve">Nguyễn Thị Đào </v>
      </c>
      <c r="D16" s="1">
        <f>VLOOKUP(RIGHT('Tổng hợp điểm'!B16,8),'Điểm thực hành các buổi'!$B$3:$F$16,3,0)</f>
        <v>0.3</v>
      </c>
      <c r="E16" s="1">
        <f>VLOOKUP(RIGHT('Tổng hợp điểm'!B16,8),'Điểm thực hành các buổi'!$B$3:$F$16,4,0)</f>
        <v>0.5</v>
      </c>
      <c r="F16" s="1">
        <f>VLOOKUP(RIGHT(B16,8),'Điểm thực hành các buổi'!$B$3:$F$16,5,0)</f>
        <v>0.45</v>
      </c>
      <c r="G16" s="1">
        <f>VLOOKUP(RIGHT(B16,8),'Điểm bài tập lớn'!$B$3:$D$16,3,0)</f>
        <v>0.3</v>
      </c>
      <c r="H16" s="1">
        <f>VLOOKUP(RIGHT(B16,8),'Điểm lý thuyết'!B12:$D$16,3,0)</f>
        <v>8.3000000000000007</v>
      </c>
      <c r="I16" s="1">
        <f t="shared" si="0"/>
        <v>6.5</v>
      </c>
      <c r="J16" s="1">
        <f>IF(OR(G16=0,VALUE(LEFT(B16,1))&gt;2),0,ROUND(I16+VLOOKUP(VALUE(LEFT(B16,1)),'Các bảng tham chiếu &amp; Thống kê'!$E$1:$F$5,2,0),1))</f>
        <v>7</v>
      </c>
      <c r="K16" s="1" t="str">
        <f>VLOOKUP(J16,'Các bảng tham chiếu &amp; Thống kê'!A$2:C$10,2,1)</f>
        <v>B</v>
      </c>
    </row>
    <row r="17" spans="1:11">
      <c r="A17" s="1">
        <v>11</v>
      </c>
      <c r="B17" s="4" t="s">
        <v>31</v>
      </c>
      <c r="C17" s="4" t="str">
        <f>VLOOKUP(RIGHT('Tổng hợp điểm'!B17,8),'Các bảng tham chiếu &amp; Thống kê'!$B$13:$D$27,2,0)</f>
        <v xml:space="preserve">Nguyễn Chí Thanh </v>
      </c>
      <c r="D17" s="1">
        <f>VLOOKUP(RIGHT('Tổng hợp điểm'!B17,8),'Điểm thực hành các buổi'!$B$3:$F$16,3,0)</f>
        <v>0.4</v>
      </c>
      <c r="E17" s="1">
        <f>VLOOKUP(RIGHT('Tổng hợp điểm'!B17,8),'Điểm thực hành các buổi'!$B$3:$F$16,4,0)</f>
        <v>0.45</v>
      </c>
      <c r="F17" s="1">
        <f>VLOOKUP(RIGHT(B17,8),'Điểm thực hành các buổi'!$B$3:$F$16,5,0)</f>
        <v>0.4</v>
      </c>
      <c r="G17" s="1">
        <f>VLOOKUP(RIGHT(B17,8),'Điểm bài tập lớn'!$B$3:$D$16,3,0)</f>
        <v>0.3</v>
      </c>
      <c r="H17" s="1">
        <f>VLOOKUP(RIGHT(B17,8),'Điểm lý thuyết'!B13:$D$16,3,0)</f>
        <v>-3</v>
      </c>
      <c r="I17" s="1">
        <f t="shared" si="0"/>
        <v>0</v>
      </c>
      <c r="J17" s="1">
        <f>IF(OR(G17=0,VALUE(LEFT(B17,1))&gt;2),0,ROUND(I17+VLOOKUP(VALUE(LEFT(B17,1)),'Các bảng tham chiếu &amp; Thống kê'!$E$1:$F$5,2,0),1))</f>
        <v>0</v>
      </c>
      <c r="K17" s="1" t="str">
        <f>VLOOKUP(J17,'Các bảng tham chiếu &amp; Thống kê'!A$2:C$10,2,1)</f>
        <v>F</v>
      </c>
    </row>
    <row r="18" spans="1:11">
      <c r="A18" s="1">
        <v>12</v>
      </c>
      <c r="B18" s="4" t="s">
        <v>32</v>
      </c>
      <c r="C18" s="4" t="str">
        <f>VLOOKUP(RIGHT('Tổng hợp điểm'!B18,8),'Các bảng tham chiếu &amp; Thống kê'!$B$13:$D$27,2,0)</f>
        <v>Nguyễn Hải Anh</v>
      </c>
      <c r="D18" s="1">
        <f>VLOOKUP(RIGHT('Tổng hợp điểm'!B18,8),'Điểm thực hành các buổi'!$B$3:$F$16,3,0)</f>
        <v>0.5</v>
      </c>
      <c r="E18" s="1">
        <f>VLOOKUP(RIGHT('Tổng hợp điểm'!B18,8),'Điểm thực hành các buổi'!$B$3:$F$16,4,0)</f>
        <v>0.5</v>
      </c>
      <c r="F18" s="1">
        <f>VLOOKUP(RIGHT(B18,8),'Điểm thực hành các buổi'!$B$3:$F$16,5,0)</f>
        <v>0.45</v>
      </c>
      <c r="G18" s="1">
        <f>VLOOKUP(RIGHT(B18,8),'Điểm bài tập lớn'!$B$3:$D$16,3,0)</f>
        <v>1.5</v>
      </c>
      <c r="H18" s="1">
        <f>VLOOKUP(RIGHT(B18,8),'Điểm lý thuyết'!B14:$D$16,3,0)</f>
        <v>7</v>
      </c>
      <c r="I18" s="1">
        <f t="shared" si="0"/>
        <v>7.2</v>
      </c>
      <c r="J18" s="1">
        <f>IF(OR(G18=0,VALUE(LEFT(B18,1))&gt;2),0,ROUND(I18+VLOOKUP(VALUE(LEFT(B18,1)),'Các bảng tham chiếu &amp; Thống kê'!$E$1:$F$5,2,0),1))</f>
        <v>7.5</v>
      </c>
      <c r="K18" s="1" t="str">
        <f>VLOOKUP(J18,'Các bảng tham chiếu &amp; Thống kê'!A$2:C$10,2,1)</f>
        <v>B</v>
      </c>
    </row>
    <row r="19" spans="1:11">
      <c r="A19" s="1">
        <v>13</v>
      </c>
      <c r="B19" s="4" t="s">
        <v>33</v>
      </c>
      <c r="C19" s="4" t="str">
        <f>VLOOKUP(RIGHT('Tổng hợp điểm'!B19,8),'Các bảng tham chiếu &amp; Thống kê'!$B$13:$D$27,2,0)</f>
        <v xml:space="preserve">Trần Nam Dương </v>
      </c>
      <c r="D19" s="1">
        <f>VLOOKUP(RIGHT('Tổng hợp điểm'!B19,8),'Điểm thực hành các buổi'!$B$3:$F$16,3,0)</f>
        <v>0.4</v>
      </c>
      <c r="E19" s="1">
        <f>VLOOKUP(RIGHT('Tổng hợp điểm'!B19,8),'Điểm thực hành các buổi'!$B$3:$F$16,4,0)</f>
        <v>0.4</v>
      </c>
      <c r="F19" s="1">
        <f>VLOOKUP(RIGHT(B19,8),'Điểm thực hành các buổi'!$B$3:$F$16,5,0)</f>
        <v>0.35</v>
      </c>
      <c r="G19" s="1">
        <f>VLOOKUP(RIGHT(B19,8),'Điểm bài tập lớn'!$B$3:$D$16,3,0)</f>
        <v>1.35</v>
      </c>
      <c r="H19" s="1">
        <f>VLOOKUP(RIGHT(B19,8),'Điểm lý thuyết'!B15:$D$16,3,0)</f>
        <v>-3</v>
      </c>
      <c r="I19" s="1">
        <f t="shared" si="0"/>
        <v>0</v>
      </c>
      <c r="J19" s="1">
        <f>IF(OR(G19=0,VALUE(LEFT(B19,1))&gt;2),0,ROUND(I19+VLOOKUP(VALUE(LEFT(B19,1)),'Các bảng tham chiếu &amp; Thống kê'!$E$1:$F$5,2,0),1))</f>
        <v>0</v>
      </c>
      <c r="K19" s="1" t="str">
        <f>VLOOKUP(J19,'Các bảng tham chiếu &amp; Thống kê'!A$2:C$10,2,1)</f>
        <v>F</v>
      </c>
    </row>
    <row r="20" spans="1:11">
      <c r="A20" s="1">
        <v>14</v>
      </c>
      <c r="B20" s="4" t="s">
        <v>34</v>
      </c>
      <c r="C20" s="4" t="str">
        <f>VLOOKUP(RIGHT('Tổng hợp điểm'!B20,8),'Các bảng tham chiếu &amp; Thống kê'!$B$13:$D$27,2,0)</f>
        <v xml:space="preserve">Nguyễn Duy Khanh </v>
      </c>
      <c r="D20" s="1">
        <f>VLOOKUP(RIGHT('Tổng hợp điểm'!B20,8),'Điểm thực hành các buổi'!$B$3:$F$16,3,0)</f>
        <v>0.35</v>
      </c>
      <c r="E20" s="1">
        <f>VLOOKUP(RIGHT('Tổng hợp điểm'!B20,8),'Điểm thực hành các buổi'!$B$3:$F$16,4,0)</f>
        <v>0.4</v>
      </c>
      <c r="F20" s="1">
        <f>VLOOKUP(RIGHT(B20,8),'Điểm thực hành các buổi'!$B$3:$F$16,5,0)</f>
        <v>0</v>
      </c>
      <c r="G20" s="1">
        <f>VLOOKUP(RIGHT(B20,8),'Điểm bài tập lớn'!$B$3:$D$16,3,0)</f>
        <v>0.85</v>
      </c>
      <c r="H20" s="1">
        <f>VLOOKUP(RIGHT(B20,8),'Điểm lý thuyết'!B16:$D$16,3,0)</f>
        <v>6.5</v>
      </c>
      <c r="I20" s="1">
        <f t="shared" si="0"/>
        <v>5.5</v>
      </c>
      <c r="J20" s="1">
        <f>IF(OR(G20=0,VALUE(LEFT(B20,1))&gt;2),0,ROUND(I20+VLOOKUP(VALUE(LEFT(B20,1)),'Các bảng tham chiếu &amp; Thống kê'!$E$1:$F$5,2,0),1))</f>
        <v>6.5</v>
      </c>
      <c r="K20" s="1" t="str">
        <f>VLOOKUP(J20,'Các bảng tham chiếu &amp; Thống kê'!A$2:C$10,2,1)</f>
        <v>C+</v>
      </c>
    </row>
  </sheetData>
  <mergeCells count="6">
    <mergeCell ref="D4:E4"/>
    <mergeCell ref="F4:H4"/>
    <mergeCell ref="B1:H1"/>
    <mergeCell ref="D2:E2"/>
    <mergeCell ref="D3:E3"/>
    <mergeCell ref="F3:H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tabSelected="1" topLeftCell="A10" workbookViewId="0">
      <selection activeCell="F28" sqref="F28"/>
    </sheetView>
  </sheetViews>
  <sheetFormatPr defaultRowHeight="15"/>
  <cols>
    <col min="1" max="1" width="23.85546875" bestFit="1" customWidth="1"/>
    <col min="2" max="2" width="9.7109375" bestFit="1" customWidth="1"/>
    <col min="3" max="3" width="22.85546875" bestFit="1" customWidth="1"/>
    <col min="5" max="5" width="21.7109375" bestFit="1" customWidth="1"/>
    <col min="6" max="6" width="9.85546875" customWidth="1"/>
  </cols>
  <sheetData>
    <row r="1" spans="1:6">
      <c r="A1" s="26" t="s">
        <v>35</v>
      </c>
      <c r="B1" s="27"/>
      <c r="C1" s="27"/>
      <c r="D1" s="7"/>
      <c r="E1" s="28" t="s">
        <v>36</v>
      </c>
      <c r="F1" s="29"/>
    </row>
    <row r="2" spans="1:6">
      <c r="A2" s="8" t="s">
        <v>37</v>
      </c>
      <c r="B2" s="8" t="s">
        <v>38</v>
      </c>
      <c r="C2" s="8" t="s">
        <v>39</v>
      </c>
      <c r="D2" s="9"/>
      <c r="E2" s="13" t="s">
        <v>40</v>
      </c>
      <c r="F2" s="8" t="s">
        <v>41</v>
      </c>
    </row>
    <row r="3" spans="1:6">
      <c r="A3" s="10">
        <v>0</v>
      </c>
      <c r="B3" s="11" t="s">
        <v>42</v>
      </c>
      <c r="C3" s="10">
        <v>0</v>
      </c>
      <c r="D3" s="10"/>
      <c r="E3" s="12">
        <v>0</v>
      </c>
      <c r="F3" s="10">
        <v>1</v>
      </c>
    </row>
    <row r="4" spans="1:6">
      <c r="A4" s="10">
        <v>4</v>
      </c>
      <c r="B4" s="11" t="s">
        <v>43</v>
      </c>
      <c r="C4" s="10">
        <v>1</v>
      </c>
      <c r="D4" s="10"/>
      <c r="E4" s="12">
        <v>1</v>
      </c>
      <c r="F4" s="10">
        <v>0.5</v>
      </c>
    </row>
    <row r="5" spans="1:6">
      <c r="A5" s="10">
        <v>5</v>
      </c>
      <c r="B5" s="11" t="s">
        <v>44</v>
      </c>
      <c r="C5" s="10">
        <v>1.5</v>
      </c>
      <c r="D5" s="10"/>
      <c r="E5" s="12">
        <v>2</v>
      </c>
      <c r="F5" s="10">
        <v>0.25</v>
      </c>
    </row>
    <row r="6" spans="1:6">
      <c r="A6" s="10">
        <v>5.5</v>
      </c>
      <c r="B6" s="11" t="s">
        <v>45</v>
      </c>
      <c r="C6" s="10">
        <v>2</v>
      </c>
      <c r="D6" s="10"/>
      <c r="E6" s="10"/>
      <c r="F6" s="10"/>
    </row>
    <row r="7" spans="1:6">
      <c r="A7" s="10">
        <v>6.5</v>
      </c>
      <c r="B7" s="11" t="s">
        <v>46</v>
      </c>
      <c r="C7" s="10">
        <v>2.5</v>
      </c>
      <c r="D7" s="10"/>
      <c r="E7" s="10"/>
      <c r="F7" s="10"/>
    </row>
    <row r="8" spans="1:6">
      <c r="A8" s="10">
        <v>7</v>
      </c>
      <c r="B8" s="11" t="s">
        <v>47</v>
      </c>
      <c r="C8" s="10">
        <v>3</v>
      </c>
      <c r="D8" s="10"/>
      <c r="E8" s="10"/>
      <c r="F8" s="10"/>
    </row>
    <row r="9" spans="1:6">
      <c r="A9" s="10">
        <v>8</v>
      </c>
      <c r="B9" s="11" t="s">
        <v>48</v>
      </c>
      <c r="C9" s="10">
        <v>3.5</v>
      </c>
      <c r="D9" s="10"/>
      <c r="E9" s="10"/>
      <c r="F9" s="10"/>
    </row>
    <row r="10" spans="1:6">
      <c r="A10" s="10">
        <v>9</v>
      </c>
      <c r="B10" s="11" t="s">
        <v>49</v>
      </c>
      <c r="C10" s="10">
        <v>4</v>
      </c>
      <c r="D10" s="10"/>
      <c r="E10" s="10"/>
      <c r="F10" s="10"/>
    </row>
    <row r="11" spans="1:6">
      <c r="A11" s="10"/>
      <c r="B11" s="11"/>
      <c r="C11" s="10"/>
      <c r="D11" s="10"/>
      <c r="E11" s="10"/>
      <c r="F11" s="10"/>
    </row>
    <row r="12" spans="1:6">
      <c r="A12" s="26" t="s">
        <v>50</v>
      </c>
      <c r="B12" s="27"/>
      <c r="C12" s="44"/>
      <c r="D12" s="9"/>
      <c r="E12" s="26" t="s">
        <v>51</v>
      </c>
      <c r="F12" s="44"/>
    </row>
    <row r="13" spans="1:6" ht="45">
      <c r="A13" s="43" t="s">
        <v>52</v>
      </c>
      <c r="B13" s="43" t="s">
        <v>10</v>
      </c>
      <c r="C13" s="43" t="s">
        <v>53</v>
      </c>
      <c r="D13" s="43"/>
      <c r="E13" s="43" t="s">
        <v>54</v>
      </c>
      <c r="F13" s="14" t="s">
        <v>55</v>
      </c>
    </row>
    <row r="14" spans="1:6">
      <c r="A14" s="12">
        <v>1</v>
      </c>
      <c r="B14" s="4" t="s">
        <v>56</v>
      </c>
      <c r="C14" s="4" t="s">
        <v>57</v>
      </c>
      <c r="D14" s="10"/>
      <c r="E14" s="10" t="s">
        <v>49</v>
      </c>
      <c r="F14" s="10">
        <f>COUNTIF('Tổng hợp điểm'!$K$7:$K$20,E14)</f>
        <v>0</v>
      </c>
    </row>
    <row r="15" spans="1:6">
      <c r="A15" s="12">
        <v>2</v>
      </c>
      <c r="B15" s="4" t="s">
        <v>58</v>
      </c>
      <c r="C15" s="4" t="s">
        <v>59</v>
      </c>
      <c r="D15" s="10"/>
      <c r="E15" s="10" t="s">
        <v>47</v>
      </c>
      <c r="F15" s="10">
        <f>COUNTIF('Tổng hợp điểm'!$K$7:$K$20,E15)</f>
        <v>2</v>
      </c>
    </row>
    <row r="16" spans="1:6">
      <c r="A16" s="12">
        <v>3</v>
      </c>
      <c r="B16" s="4" t="s">
        <v>60</v>
      </c>
      <c r="C16" s="4" t="s">
        <v>61</v>
      </c>
      <c r="D16" s="10"/>
      <c r="E16" s="10" t="s">
        <v>48</v>
      </c>
      <c r="F16" s="10">
        <f>COUNTIF('Tổng hợp điểm'!$K$7:$K$20,E16)</f>
        <v>1</v>
      </c>
    </row>
    <row r="17" spans="1:6">
      <c r="A17" s="12">
        <v>4</v>
      </c>
      <c r="B17" s="4" t="s">
        <v>62</v>
      </c>
      <c r="C17" s="4" t="s">
        <v>63</v>
      </c>
      <c r="D17" s="10"/>
      <c r="E17" s="10" t="s">
        <v>45</v>
      </c>
      <c r="F17" s="10">
        <f>COUNTIF('Tổng hợp điểm'!$K$7:$K$20,E17)</f>
        <v>5</v>
      </c>
    </row>
    <row r="18" spans="1:6">
      <c r="A18" s="12">
        <v>5</v>
      </c>
      <c r="B18" s="4" t="s">
        <v>64</v>
      </c>
      <c r="C18" s="4" t="s">
        <v>65</v>
      </c>
      <c r="D18" s="10"/>
      <c r="E18" s="10" t="s">
        <v>46</v>
      </c>
      <c r="F18" s="10">
        <f>COUNTIF('Tổng hợp điểm'!$K$7:$K$20,E18)</f>
        <v>2</v>
      </c>
    </row>
    <row r="19" spans="1:6">
      <c r="A19" s="12">
        <v>6</v>
      </c>
      <c r="B19" s="4" t="s">
        <v>66</v>
      </c>
      <c r="C19" s="4" t="s">
        <v>67</v>
      </c>
      <c r="D19" s="10"/>
      <c r="E19" s="10" t="s">
        <v>43</v>
      </c>
      <c r="F19" s="10">
        <f>COUNTIF('Tổng hợp điểm'!$K$7:$K$20,E19)</f>
        <v>0</v>
      </c>
    </row>
    <row r="20" spans="1:6">
      <c r="A20" s="12">
        <v>7</v>
      </c>
      <c r="B20" s="4" t="s">
        <v>68</v>
      </c>
      <c r="C20" s="4" t="s">
        <v>69</v>
      </c>
      <c r="D20" s="10"/>
      <c r="E20" s="10" t="s">
        <v>44</v>
      </c>
      <c r="F20" s="10">
        <f>COUNTIF('Tổng hợp điểm'!$K$7:$K$20,E20)</f>
        <v>1</v>
      </c>
    </row>
    <row r="21" spans="1:6">
      <c r="A21" s="12">
        <v>8</v>
      </c>
      <c r="B21" s="4" t="s">
        <v>70</v>
      </c>
      <c r="C21" s="4" t="s">
        <v>71</v>
      </c>
      <c r="D21" s="10"/>
      <c r="E21" s="10" t="s">
        <v>42</v>
      </c>
      <c r="F21" s="10">
        <f>COUNTIF('Tổng hợp điểm'!$K$7:$K$20,E21)</f>
        <v>3</v>
      </c>
    </row>
    <row r="22" spans="1:6">
      <c r="A22" s="12">
        <v>9</v>
      </c>
      <c r="B22" s="4" t="s">
        <v>72</v>
      </c>
      <c r="C22" s="4" t="s">
        <v>73</v>
      </c>
      <c r="D22" s="10"/>
      <c r="E22" s="10"/>
      <c r="F22" s="10"/>
    </row>
    <row r="23" spans="1:6">
      <c r="A23" s="12">
        <v>10</v>
      </c>
      <c r="B23" s="4" t="s">
        <v>74</v>
      </c>
      <c r="C23" s="4" t="s">
        <v>75</v>
      </c>
      <c r="D23" s="10"/>
      <c r="E23" s="30" t="s">
        <v>76</v>
      </c>
      <c r="F23" s="31"/>
    </row>
    <row r="24" spans="1:6">
      <c r="A24" s="12">
        <v>11</v>
      </c>
      <c r="B24" s="4" t="s">
        <v>77</v>
      </c>
      <c r="C24" s="4" t="s">
        <v>78</v>
      </c>
      <c r="D24" s="10"/>
      <c r="E24" s="45" t="s">
        <v>79</v>
      </c>
      <c r="F24" s="48">
        <f>COUNTIF('Tổng hợp điểm'!G9:G20,0) + COUNTIF('Tổng hợp điểm'!H9:H20,-3)</f>
        <v>3</v>
      </c>
    </row>
    <row r="25" spans="1:6">
      <c r="A25" s="12">
        <v>12</v>
      </c>
      <c r="B25" s="4" t="s">
        <v>80</v>
      </c>
      <c r="C25" s="4" t="s">
        <v>81</v>
      </c>
      <c r="D25" s="10"/>
      <c r="E25" s="46"/>
      <c r="F25" s="32"/>
    </row>
    <row r="26" spans="1:6">
      <c r="A26" s="12">
        <v>13</v>
      </c>
      <c r="B26" s="4" t="s">
        <v>82</v>
      </c>
      <c r="C26" s="4" t="s">
        <v>83</v>
      </c>
      <c r="D26" s="10"/>
      <c r="E26" s="47"/>
      <c r="F26" s="33"/>
    </row>
    <row r="27" spans="1:6">
      <c r="A27" s="12">
        <v>14</v>
      </c>
      <c r="B27" s="4" t="s">
        <v>84</v>
      </c>
      <c r="C27" s="4" t="s">
        <v>85</v>
      </c>
      <c r="D27" s="10"/>
      <c r="E27" s="8" t="s">
        <v>86</v>
      </c>
      <c r="F27" s="10">
        <f>COUNTIF('Tổng hợp điểm'!B9:B20,"2*")</f>
        <v>2</v>
      </c>
    </row>
  </sheetData>
  <mergeCells count="7">
    <mergeCell ref="E24:E26"/>
    <mergeCell ref="F24:F26"/>
    <mergeCell ref="A1:C1"/>
    <mergeCell ref="E1:F1"/>
    <mergeCell ref="A12:C12"/>
    <mergeCell ref="E12:F12"/>
    <mergeCell ref="E23:F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>
      <selection activeCell="F15" sqref="F15"/>
    </sheetView>
  </sheetViews>
  <sheetFormatPr defaultRowHeight="15"/>
  <cols>
    <col min="2" max="2" width="10.140625" bestFit="1" customWidth="1"/>
    <col min="3" max="3" width="17.7109375" customWidth="1"/>
    <col min="4" max="4" width="5.85546875" bestFit="1" customWidth="1"/>
  </cols>
  <sheetData>
    <row r="1" spans="1:11" ht="75">
      <c r="A1" s="6" t="s">
        <v>20</v>
      </c>
      <c r="B1" s="5" t="s">
        <v>10</v>
      </c>
      <c r="C1" s="5" t="s">
        <v>11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12</v>
      </c>
    </row>
    <row r="2" spans="1:11">
      <c r="A2" s="1">
        <v>1</v>
      </c>
      <c r="B2" s="42" t="s">
        <v>21</v>
      </c>
      <c r="C2" s="42" t="s">
        <v>57</v>
      </c>
      <c r="D2" s="1">
        <v>0.45</v>
      </c>
      <c r="E2" s="1">
        <v>0.25</v>
      </c>
      <c r="F2" s="1">
        <v>0.3</v>
      </c>
      <c r="G2" s="1">
        <v>0.5</v>
      </c>
      <c r="H2" s="1">
        <v>4.2</v>
      </c>
      <c r="I2" s="1">
        <v>4</v>
      </c>
      <c r="J2" s="1">
        <v>5</v>
      </c>
      <c r="K2" s="1" t="s">
        <v>44</v>
      </c>
    </row>
    <row r="3" spans="1:11">
      <c r="A3" s="1">
        <v>2</v>
      </c>
      <c r="B3" s="42" t="s">
        <v>22</v>
      </c>
      <c r="C3" s="42" t="s">
        <v>59</v>
      </c>
      <c r="D3" s="1">
        <v>0.5</v>
      </c>
      <c r="E3" s="1">
        <v>0.35</v>
      </c>
      <c r="F3" s="1">
        <v>0.4</v>
      </c>
      <c r="G3" s="1">
        <v>1</v>
      </c>
      <c r="H3" s="1">
        <v>5.8</v>
      </c>
      <c r="I3" s="1">
        <v>5.7</v>
      </c>
      <c r="J3" s="1">
        <v>6.2</v>
      </c>
      <c r="K3" s="1" t="s">
        <v>45</v>
      </c>
    </row>
    <row r="4" spans="1:11">
      <c r="A4" s="1">
        <v>3</v>
      </c>
      <c r="B4" s="42" t="s">
        <v>23</v>
      </c>
      <c r="C4" s="42" t="s">
        <v>61</v>
      </c>
      <c r="D4" s="1">
        <v>0.25</v>
      </c>
      <c r="E4" s="1">
        <v>0.25</v>
      </c>
      <c r="F4" s="1">
        <v>0.3</v>
      </c>
      <c r="G4" s="1">
        <v>0.5</v>
      </c>
      <c r="H4" s="1">
        <v>5.8</v>
      </c>
      <c r="I4" s="1">
        <v>4.8</v>
      </c>
      <c r="J4" s="1">
        <v>5.8</v>
      </c>
      <c r="K4" s="1" t="s">
        <v>45</v>
      </c>
    </row>
    <row r="5" spans="1:11">
      <c r="A5" s="1">
        <v>4</v>
      </c>
      <c r="B5" s="42" t="s">
        <v>24</v>
      </c>
      <c r="C5" s="42" t="s">
        <v>63</v>
      </c>
      <c r="D5" s="1">
        <v>0.4</v>
      </c>
      <c r="E5" s="1">
        <v>0.25</v>
      </c>
      <c r="F5" s="1">
        <v>0.35</v>
      </c>
      <c r="G5" s="1">
        <v>1</v>
      </c>
      <c r="H5" s="1">
        <v>4.5</v>
      </c>
      <c r="I5" s="1">
        <v>4.7</v>
      </c>
      <c r="J5" s="1">
        <v>5.7</v>
      </c>
      <c r="K5" s="1" t="s">
        <v>45</v>
      </c>
    </row>
    <row r="6" spans="1:11">
      <c r="A6" s="1">
        <v>5</v>
      </c>
      <c r="B6" s="42" t="s">
        <v>25</v>
      </c>
      <c r="C6" s="42" t="s">
        <v>65</v>
      </c>
      <c r="D6" s="1">
        <v>0.45</v>
      </c>
      <c r="E6" s="1">
        <v>0.4</v>
      </c>
      <c r="F6" s="1">
        <v>0.35</v>
      </c>
      <c r="G6" s="1">
        <v>0.75</v>
      </c>
      <c r="H6" s="1">
        <v>5.5</v>
      </c>
      <c r="I6" s="1">
        <v>5.3</v>
      </c>
      <c r="J6" s="1">
        <v>5.6</v>
      </c>
      <c r="K6" s="1" t="s">
        <v>45</v>
      </c>
    </row>
    <row r="7" spans="1:11">
      <c r="A7" s="1">
        <v>7</v>
      </c>
      <c r="B7" s="42" t="s">
        <v>27</v>
      </c>
      <c r="C7" s="42" t="s">
        <v>69</v>
      </c>
      <c r="D7" s="1">
        <v>0.4</v>
      </c>
      <c r="E7" s="1">
        <v>0.4</v>
      </c>
      <c r="F7" s="1">
        <v>0.4</v>
      </c>
      <c r="G7" s="1">
        <v>1</v>
      </c>
      <c r="H7" s="1">
        <v>5.3</v>
      </c>
      <c r="I7" s="1">
        <v>5.4</v>
      </c>
      <c r="J7" s="1">
        <v>6.4</v>
      </c>
      <c r="K7" s="1" t="s">
        <v>45</v>
      </c>
    </row>
    <row r="8" spans="1:11">
      <c r="A8" s="1">
        <v>8</v>
      </c>
      <c r="B8" s="42" t="s">
        <v>28</v>
      </c>
      <c r="C8" s="42" t="s">
        <v>71</v>
      </c>
      <c r="D8" s="1">
        <v>0.45</v>
      </c>
      <c r="E8" s="1">
        <v>0.4</v>
      </c>
      <c r="F8" s="1">
        <v>0.45</v>
      </c>
      <c r="G8" s="1">
        <v>0</v>
      </c>
      <c r="H8" s="1">
        <v>6.8</v>
      </c>
      <c r="I8" s="1">
        <v>5.4</v>
      </c>
      <c r="J8" s="1">
        <v>0</v>
      </c>
      <c r="K8" s="1" t="s">
        <v>42</v>
      </c>
    </row>
    <row r="9" spans="1:11">
      <c r="A9" s="1">
        <v>9</v>
      </c>
      <c r="B9" s="42" t="s">
        <v>29</v>
      </c>
      <c r="C9" s="42" t="s">
        <v>73</v>
      </c>
      <c r="D9" s="1">
        <v>0.45</v>
      </c>
      <c r="E9" s="1">
        <v>0.4</v>
      </c>
      <c r="F9" s="1">
        <v>0.4</v>
      </c>
      <c r="G9" s="1">
        <v>0.75</v>
      </c>
      <c r="H9" s="1">
        <v>6.3</v>
      </c>
      <c r="I9" s="1">
        <v>5.8</v>
      </c>
      <c r="J9" s="1">
        <v>6.8</v>
      </c>
      <c r="K9" s="1" t="s">
        <v>46</v>
      </c>
    </row>
    <row r="10" spans="1:11">
      <c r="A10" s="1">
        <v>11</v>
      </c>
      <c r="B10" s="42" t="s">
        <v>31</v>
      </c>
      <c r="C10" s="42" t="s">
        <v>78</v>
      </c>
      <c r="D10" s="1">
        <v>0.4</v>
      </c>
      <c r="E10" s="1">
        <v>0.45</v>
      </c>
      <c r="F10" s="1">
        <v>0.4</v>
      </c>
      <c r="G10" s="1">
        <v>0.3</v>
      </c>
      <c r="H10" s="1">
        <v>-3</v>
      </c>
      <c r="I10" s="1">
        <v>0</v>
      </c>
      <c r="J10" s="1">
        <v>0</v>
      </c>
      <c r="K10" s="1" t="s">
        <v>42</v>
      </c>
    </row>
    <row r="11" spans="1:11">
      <c r="A11" s="1">
        <v>13</v>
      </c>
      <c r="B11" s="42" t="s">
        <v>33</v>
      </c>
      <c r="C11" s="42" t="s">
        <v>83</v>
      </c>
      <c r="D11" s="1">
        <v>0.4</v>
      </c>
      <c r="E11" s="1">
        <v>0.4</v>
      </c>
      <c r="F11" s="1">
        <v>0.35</v>
      </c>
      <c r="G11" s="1">
        <v>1.35</v>
      </c>
      <c r="H11" s="1">
        <v>-3</v>
      </c>
      <c r="I11" s="1">
        <v>0</v>
      </c>
      <c r="J11" s="1">
        <v>0</v>
      </c>
      <c r="K11" s="1" t="s">
        <v>42</v>
      </c>
    </row>
    <row r="12" spans="1:11">
      <c r="A12" s="1">
        <v>14</v>
      </c>
      <c r="B12" s="42" t="s">
        <v>34</v>
      </c>
      <c r="C12" s="42" t="s">
        <v>85</v>
      </c>
      <c r="D12" s="1">
        <v>0.35</v>
      </c>
      <c r="E12" s="1">
        <v>0.4</v>
      </c>
      <c r="F12" s="1">
        <v>0</v>
      </c>
      <c r="G12" s="1">
        <v>0.85</v>
      </c>
      <c r="H12" s="1">
        <v>6.5</v>
      </c>
      <c r="I12" s="1">
        <v>5.5</v>
      </c>
      <c r="J12" s="1">
        <v>6.5</v>
      </c>
      <c r="K12" s="1" t="s">
        <v>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K2" sqref="K2"/>
    </sheetView>
  </sheetViews>
  <sheetFormatPr defaultRowHeight="15"/>
  <sheetData>
    <row r="1" spans="1:11" ht="75">
      <c r="A1" s="6" t="s">
        <v>20</v>
      </c>
      <c r="B1" s="5" t="s">
        <v>10</v>
      </c>
      <c r="C1" s="5" t="s">
        <v>11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12</v>
      </c>
    </row>
    <row r="2" spans="1:11">
      <c r="A2" s="1">
        <v>6</v>
      </c>
      <c r="B2" s="42" t="s">
        <v>26</v>
      </c>
      <c r="C2" s="42" t="s">
        <v>67</v>
      </c>
      <c r="D2" s="1">
        <v>0.4</v>
      </c>
      <c r="E2" s="1">
        <v>0.45</v>
      </c>
      <c r="F2" s="1">
        <v>0.5</v>
      </c>
      <c r="G2" s="1">
        <v>1.2</v>
      </c>
      <c r="H2" s="1">
        <v>7.5</v>
      </c>
      <c r="I2" s="1">
        <v>7.1</v>
      </c>
      <c r="J2" s="1">
        <v>8.1</v>
      </c>
      <c r="K2" s="1" t="s"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E3" sqref="E3"/>
    </sheetView>
  </sheetViews>
  <sheetFormatPr defaultRowHeight="15"/>
  <cols>
    <col min="3" max="3" width="18.42578125" bestFit="1" customWidth="1"/>
    <col min="4" max="4" width="10" bestFit="1" customWidth="1"/>
    <col min="5" max="5" width="10.7109375" customWidth="1"/>
  </cols>
  <sheetData>
    <row r="1" spans="1:6">
      <c r="A1" s="34" t="s">
        <v>87</v>
      </c>
      <c r="B1" s="35"/>
      <c r="C1" s="35"/>
      <c r="D1" s="35"/>
      <c r="E1" s="35"/>
      <c r="F1" s="36"/>
    </row>
    <row r="2" spans="1:6">
      <c r="A2" s="15" t="s">
        <v>52</v>
      </c>
      <c r="B2" s="15" t="s">
        <v>10</v>
      </c>
      <c r="C2" s="15" t="s">
        <v>88</v>
      </c>
      <c r="D2" s="15" t="s">
        <v>89</v>
      </c>
      <c r="E2" s="15" t="s">
        <v>90</v>
      </c>
      <c r="F2" s="15" t="s">
        <v>91</v>
      </c>
    </row>
    <row r="3" spans="1:6">
      <c r="A3" s="12">
        <v>1</v>
      </c>
      <c r="B3" s="10" t="s">
        <v>56</v>
      </c>
      <c r="C3" s="10" t="s">
        <v>57</v>
      </c>
      <c r="D3" s="12">
        <v>0.45</v>
      </c>
      <c r="E3" s="12">
        <v>0.25</v>
      </c>
      <c r="F3" s="12">
        <v>0.3</v>
      </c>
    </row>
    <row r="4" spans="1:6">
      <c r="A4" s="12">
        <v>2</v>
      </c>
      <c r="B4" s="10" t="s">
        <v>58</v>
      </c>
      <c r="C4" s="10" t="s">
        <v>59</v>
      </c>
      <c r="D4" s="12">
        <v>0.5</v>
      </c>
      <c r="E4" s="12">
        <v>0.35</v>
      </c>
      <c r="F4" s="12">
        <v>0.4</v>
      </c>
    </row>
    <row r="5" spans="1:6">
      <c r="A5" s="12">
        <v>3</v>
      </c>
      <c r="B5" s="10" t="s">
        <v>60</v>
      </c>
      <c r="C5" s="10" t="s">
        <v>61</v>
      </c>
      <c r="D5" s="16">
        <v>0.25</v>
      </c>
      <c r="E5" s="12">
        <v>0.25</v>
      </c>
      <c r="F5" s="12">
        <v>0.3</v>
      </c>
    </row>
    <row r="6" spans="1:6">
      <c r="A6" s="12">
        <v>4</v>
      </c>
      <c r="B6" s="10" t="s">
        <v>62</v>
      </c>
      <c r="C6" s="10" t="s">
        <v>63</v>
      </c>
      <c r="D6" s="12">
        <v>0.4</v>
      </c>
      <c r="E6" s="12">
        <v>0.25</v>
      </c>
      <c r="F6" s="12">
        <v>0.35</v>
      </c>
    </row>
    <row r="7" spans="1:6">
      <c r="A7" s="12">
        <v>5</v>
      </c>
      <c r="B7" s="10" t="s">
        <v>64</v>
      </c>
      <c r="C7" s="10" t="s">
        <v>65</v>
      </c>
      <c r="D7" s="12">
        <v>0.45</v>
      </c>
      <c r="E7" s="12">
        <v>0.4</v>
      </c>
      <c r="F7" s="12">
        <v>0.35</v>
      </c>
    </row>
    <row r="8" spans="1:6">
      <c r="A8" s="12">
        <v>6</v>
      </c>
      <c r="B8" s="10" t="s">
        <v>66</v>
      </c>
      <c r="C8" s="10" t="s">
        <v>67</v>
      </c>
      <c r="D8" s="12">
        <v>0.4</v>
      </c>
      <c r="E8" s="12">
        <v>0.45</v>
      </c>
      <c r="F8" s="12">
        <v>0.5</v>
      </c>
    </row>
    <row r="9" spans="1:6">
      <c r="A9" s="12">
        <v>7</v>
      </c>
      <c r="B9" s="10" t="s">
        <v>68</v>
      </c>
      <c r="C9" s="10" t="s">
        <v>69</v>
      </c>
      <c r="D9" s="12">
        <v>0.4</v>
      </c>
      <c r="E9" s="12">
        <v>0.4</v>
      </c>
      <c r="F9" s="12">
        <v>0.4</v>
      </c>
    </row>
    <row r="10" spans="1:6">
      <c r="A10" s="12">
        <v>8</v>
      </c>
      <c r="B10" s="10" t="s">
        <v>70</v>
      </c>
      <c r="C10" s="10" t="s">
        <v>71</v>
      </c>
      <c r="D10" s="12">
        <v>0.45</v>
      </c>
      <c r="E10" s="12">
        <v>0.4</v>
      </c>
      <c r="F10" s="12">
        <v>0.45</v>
      </c>
    </row>
    <row r="11" spans="1:6">
      <c r="A11" s="12">
        <v>9</v>
      </c>
      <c r="B11" s="10" t="s">
        <v>72</v>
      </c>
      <c r="C11" s="10" t="s">
        <v>73</v>
      </c>
      <c r="D11" s="12">
        <v>0.45</v>
      </c>
      <c r="E11" s="12">
        <v>0.4</v>
      </c>
      <c r="F11" s="12">
        <v>0.4</v>
      </c>
    </row>
    <row r="12" spans="1:6">
      <c r="A12" s="12">
        <v>10</v>
      </c>
      <c r="B12" s="10" t="s">
        <v>74</v>
      </c>
      <c r="C12" s="10" t="s">
        <v>75</v>
      </c>
      <c r="D12" s="12">
        <v>0.3</v>
      </c>
      <c r="E12" s="12">
        <v>0.5</v>
      </c>
      <c r="F12" s="12">
        <v>0.45</v>
      </c>
    </row>
    <row r="13" spans="1:6">
      <c r="A13" s="12">
        <v>11</v>
      </c>
      <c r="B13" s="10" t="s">
        <v>77</v>
      </c>
      <c r="C13" s="10" t="s">
        <v>78</v>
      </c>
      <c r="D13" s="12">
        <v>0.4</v>
      </c>
      <c r="E13" s="12">
        <v>0.45</v>
      </c>
      <c r="F13" s="12">
        <v>0.4</v>
      </c>
    </row>
    <row r="14" spans="1:6">
      <c r="A14" s="12">
        <v>12</v>
      </c>
      <c r="B14" s="10" t="s">
        <v>80</v>
      </c>
      <c r="C14" s="10" t="s">
        <v>81</v>
      </c>
      <c r="D14" s="12">
        <v>0.5</v>
      </c>
      <c r="E14" s="12">
        <v>0.5</v>
      </c>
      <c r="F14" s="12">
        <v>0.45</v>
      </c>
    </row>
    <row r="15" spans="1:6">
      <c r="A15" s="12">
        <v>13</v>
      </c>
      <c r="B15" s="10" t="s">
        <v>82</v>
      </c>
      <c r="C15" s="10" t="s">
        <v>83</v>
      </c>
      <c r="D15" s="12">
        <v>0.4</v>
      </c>
      <c r="E15" s="12">
        <v>0.4</v>
      </c>
      <c r="F15" s="12">
        <v>0.35</v>
      </c>
    </row>
    <row r="16" spans="1:6">
      <c r="A16" s="12">
        <v>14</v>
      </c>
      <c r="B16" s="10" t="s">
        <v>84</v>
      </c>
      <c r="C16" s="10" t="s">
        <v>85</v>
      </c>
      <c r="D16" s="12">
        <v>0.35</v>
      </c>
      <c r="E16" s="12">
        <v>0.4</v>
      </c>
      <c r="F16" s="12">
        <v>0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sqref="A1:D16"/>
    </sheetView>
  </sheetViews>
  <sheetFormatPr defaultRowHeight="15"/>
  <cols>
    <col min="3" max="3" width="18.42578125" bestFit="1" customWidth="1"/>
    <col min="4" max="4" width="14.28515625" bestFit="1" customWidth="1"/>
  </cols>
  <sheetData>
    <row r="1" spans="1:4">
      <c r="A1" s="37" t="s">
        <v>92</v>
      </c>
      <c r="B1" s="38"/>
      <c r="C1" s="38"/>
      <c r="D1" s="39"/>
    </row>
    <row r="2" spans="1:4">
      <c r="A2" s="17" t="s">
        <v>52</v>
      </c>
      <c r="B2" s="17" t="s">
        <v>10</v>
      </c>
      <c r="C2" s="17" t="s">
        <v>93</v>
      </c>
      <c r="D2" s="17" t="s">
        <v>92</v>
      </c>
    </row>
    <row r="3" spans="1:4">
      <c r="A3" s="10">
        <v>1</v>
      </c>
      <c r="B3" s="4" t="s">
        <v>56</v>
      </c>
      <c r="C3" s="4" t="s">
        <v>57</v>
      </c>
      <c r="D3" s="10">
        <v>4.2</v>
      </c>
    </row>
    <row r="4" spans="1:4">
      <c r="A4" s="10">
        <v>2</v>
      </c>
      <c r="B4" s="4" t="s">
        <v>58</v>
      </c>
      <c r="C4" s="4" t="s">
        <v>59</v>
      </c>
      <c r="D4" s="10">
        <v>5.8</v>
      </c>
    </row>
    <row r="5" spans="1:4">
      <c r="A5" s="10">
        <v>3</v>
      </c>
      <c r="B5" s="4" t="s">
        <v>60</v>
      </c>
      <c r="C5" s="4" t="s">
        <v>61</v>
      </c>
      <c r="D5" s="10">
        <v>5.8</v>
      </c>
    </row>
    <row r="6" spans="1:4">
      <c r="A6" s="10">
        <v>4</v>
      </c>
      <c r="B6" s="4" t="s">
        <v>62</v>
      </c>
      <c r="C6" s="4" t="s">
        <v>63</v>
      </c>
      <c r="D6" s="10">
        <v>4.5</v>
      </c>
    </row>
    <row r="7" spans="1:4">
      <c r="A7" s="10">
        <v>5</v>
      </c>
      <c r="B7" s="4" t="s">
        <v>64</v>
      </c>
      <c r="C7" s="4" t="s">
        <v>65</v>
      </c>
      <c r="D7" s="10">
        <v>5.5</v>
      </c>
    </row>
    <row r="8" spans="1:4">
      <c r="A8" s="10">
        <v>6</v>
      </c>
      <c r="B8" s="4" t="s">
        <v>66</v>
      </c>
      <c r="C8" s="4" t="s">
        <v>67</v>
      </c>
      <c r="D8" s="10">
        <v>7.5</v>
      </c>
    </row>
    <row r="9" spans="1:4">
      <c r="A9" s="10">
        <v>7</v>
      </c>
      <c r="B9" s="4" t="s">
        <v>68</v>
      </c>
      <c r="C9" s="4" t="s">
        <v>69</v>
      </c>
      <c r="D9" s="10">
        <v>5.3</v>
      </c>
    </row>
    <row r="10" spans="1:4">
      <c r="A10" s="10">
        <v>8</v>
      </c>
      <c r="B10" s="4" t="s">
        <v>70</v>
      </c>
      <c r="C10" s="4" t="s">
        <v>71</v>
      </c>
      <c r="D10" s="10">
        <v>6.8</v>
      </c>
    </row>
    <row r="11" spans="1:4">
      <c r="A11" s="10">
        <v>9</v>
      </c>
      <c r="B11" s="4" t="s">
        <v>72</v>
      </c>
      <c r="C11" s="4" t="s">
        <v>73</v>
      </c>
      <c r="D11" s="18">
        <v>6.3</v>
      </c>
    </row>
    <row r="12" spans="1:4">
      <c r="A12" s="10">
        <v>10</v>
      </c>
      <c r="B12" s="4" t="s">
        <v>74</v>
      </c>
      <c r="C12" s="4" t="s">
        <v>75</v>
      </c>
      <c r="D12" s="10">
        <v>8.3000000000000007</v>
      </c>
    </row>
    <row r="13" spans="1:4">
      <c r="A13" s="10">
        <v>11</v>
      </c>
      <c r="B13" s="4" t="s">
        <v>77</v>
      </c>
      <c r="C13" s="4" t="s">
        <v>78</v>
      </c>
      <c r="D13" s="10">
        <v>-3</v>
      </c>
    </row>
    <row r="14" spans="1:4">
      <c r="A14" s="10">
        <v>12</v>
      </c>
      <c r="B14" s="4" t="s">
        <v>80</v>
      </c>
      <c r="C14" s="4" t="s">
        <v>81</v>
      </c>
      <c r="D14" s="10">
        <v>7</v>
      </c>
    </row>
    <row r="15" spans="1:4">
      <c r="A15" s="10">
        <v>13</v>
      </c>
      <c r="B15" s="4" t="s">
        <v>82</v>
      </c>
      <c r="C15" s="19" t="s">
        <v>83</v>
      </c>
      <c r="D15" s="10">
        <v>-3</v>
      </c>
    </row>
    <row r="16" spans="1:4">
      <c r="A16" s="10">
        <v>14</v>
      </c>
      <c r="B16" s="4" t="s">
        <v>84</v>
      </c>
      <c r="C16" s="4" t="s">
        <v>85</v>
      </c>
      <c r="D16" s="10">
        <v>6.5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sqref="A1:D16"/>
    </sheetView>
  </sheetViews>
  <sheetFormatPr defaultRowHeight="15"/>
  <cols>
    <col min="3" max="3" width="18.42578125" bestFit="1" customWidth="1"/>
    <col min="4" max="4" width="12" bestFit="1" customWidth="1"/>
  </cols>
  <sheetData>
    <row r="1" spans="1:4">
      <c r="A1" s="34" t="s">
        <v>94</v>
      </c>
      <c r="B1" s="40"/>
      <c r="C1" s="40"/>
      <c r="D1" s="41"/>
    </row>
    <row r="2" spans="1:4">
      <c r="A2" s="15" t="s">
        <v>52</v>
      </c>
      <c r="B2" s="15" t="s">
        <v>10</v>
      </c>
      <c r="C2" s="15" t="s">
        <v>93</v>
      </c>
      <c r="D2" s="15" t="s">
        <v>95</v>
      </c>
    </row>
    <row r="3" spans="1:4">
      <c r="A3" s="12">
        <v>1</v>
      </c>
      <c r="B3" s="10" t="s">
        <v>56</v>
      </c>
      <c r="C3" s="10" t="s">
        <v>57</v>
      </c>
      <c r="D3" s="12">
        <v>0.5</v>
      </c>
    </row>
    <row r="4" spans="1:4">
      <c r="A4" s="12">
        <v>2</v>
      </c>
      <c r="B4" s="10" t="s">
        <v>58</v>
      </c>
      <c r="C4" s="10" t="s">
        <v>59</v>
      </c>
      <c r="D4" s="12">
        <v>1</v>
      </c>
    </row>
    <row r="5" spans="1:4">
      <c r="A5" s="12">
        <v>3</v>
      </c>
      <c r="B5" s="10" t="s">
        <v>60</v>
      </c>
      <c r="C5" s="10" t="s">
        <v>61</v>
      </c>
      <c r="D5" s="12">
        <v>0.5</v>
      </c>
    </row>
    <row r="6" spans="1:4">
      <c r="A6" s="12">
        <v>4</v>
      </c>
      <c r="B6" s="10" t="s">
        <v>62</v>
      </c>
      <c r="C6" s="10" t="s">
        <v>63</v>
      </c>
      <c r="D6" s="12">
        <v>1</v>
      </c>
    </row>
    <row r="7" spans="1:4">
      <c r="A7" s="12">
        <v>5</v>
      </c>
      <c r="B7" s="10" t="s">
        <v>64</v>
      </c>
      <c r="C7" s="10" t="s">
        <v>65</v>
      </c>
      <c r="D7" s="12">
        <v>0.75</v>
      </c>
    </row>
    <row r="8" spans="1:4">
      <c r="A8" s="12">
        <v>6</v>
      </c>
      <c r="B8" s="10" t="s">
        <v>66</v>
      </c>
      <c r="C8" s="10" t="s">
        <v>67</v>
      </c>
      <c r="D8" s="12">
        <v>1.2</v>
      </c>
    </row>
    <row r="9" spans="1:4">
      <c r="A9" s="12">
        <v>7</v>
      </c>
      <c r="B9" s="10" t="s">
        <v>68</v>
      </c>
      <c r="C9" s="10" t="s">
        <v>69</v>
      </c>
      <c r="D9" s="12">
        <v>1</v>
      </c>
    </row>
    <row r="10" spans="1:4">
      <c r="A10" s="12">
        <v>8</v>
      </c>
      <c r="B10" s="10" t="s">
        <v>70</v>
      </c>
      <c r="C10" s="10" t="s">
        <v>71</v>
      </c>
      <c r="D10" s="12">
        <v>0</v>
      </c>
    </row>
    <row r="11" spans="1:4">
      <c r="A11" s="12">
        <v>9</v>
      </c>
      <c r="B11" s="10" t="s">
        <v>72</v>
      </c>
      <c r="C11" s="10" t="s">
        <v>73</v>
      </c>
      <c r="D11" s="12">
        <v>0.75</v>
      </c>
    </row>
    <row r="12" spans="1:4">
      <c r="A12" s="12">
        <v>10</v>
      </c>
      <c r="B12" s="10" t="s">
        <v>74</v>
      </c>
      <c r="C12" s="10" t="s">
        <v>75</v>
      </c>
      <c r="D12" s="12">
        <v>0.3</v>
      </c>
    </row>
    <row r="13" spans="1:4">
      <c r="A13" s="12">
        <v>11</v>
      </c>
      <c r="B13" s="10" t="s">
        <v>77</v>
      </c>
      <c r="C13" s="10" t="s">
        <v>78</v>
      </c>
      <c r="D13" s="12">
        <v>0.3</v>
      </c>
    </row>
    <row r="14" spans="1:4">
      <c r="A14" s="12">
        <v>12</v>
      </c>
      <c r="B14" s="10" t="s">
        <v>80</v>
      </c>
      <c r="C14" s="10" t="s">
        <v>81</v>
      </c>
      <c r="D14" s="12">
        <v>1.5</v>
      </c>
    </row>
    <row r="15" spans="1:4">
      <c r="A15" s="12">
        <v>13</v>
      </c>
      <c r="B15" s="10" t="s">
        <v>82</v>
      </c>
      <c r="C15" s="10" t="s">
        <v>83</v>
      </c>
      <c r="D15" s="12">
        <v>1.35</v>
      </c>
    </row>
    <row r="16" spans="1:4">
      <c r="A16" s="12">
        <v>14</v>
      </c>
      <c r="B16" s="10" t="s">
        <v>84</v>
      </c>
      <c r="C16" s="10" t="s">
        <v>85</v>
      </c>
      <c r="D16" s="12">
        <v>0.85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Tổng hợp điểm</vt:lpstr>
      <vt:lpstr>Các bảng tham chiếu &amp; Thống kê</vt:lpstr>
      <vt:lpstr>Sinh viên điểm &lt; 7</vt:lpstr>
      <vt:lpstr>Điểm sinh viên &gt;= 7</vt:lpstr>
      <vt:lpstr>Điểm thực hành các buổi</vt:lpstr>
      <vt:lpstr>Điểm lý thuyết</vt:lpstr>
      <vt:lpstr>Điểm bài tập lớn</vt:lpstr>
      <vt:lpstr>'Điểm sinh viên &gt;= 7'!Extract</vt:lpstr>
      <vt:lpstr>'Sinh viên điểm &lt; 7'!Extract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2026-02-03T22:36:16Z</dcterms:created>
  <dcterms:modified xsi:type="dcterms:W3CDTF">2026-02-04T06:50:35Z</dcterms:modified>
</cp:coreProperties>
</file>